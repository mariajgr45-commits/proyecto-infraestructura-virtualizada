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aria\Desktop\PROYECTO\"/>
    </mc:Choice>
  </mc:AlternateContent>
  <xr:revisionPtr revIDLastSave="0" documentId="13_ncr:1_{21022556-4295-43C4-ABD1-F5E8ADDD59C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C12" i="1"/>
  <c r="C9" i="1"/>
  <c r="C8" i="1"/>
  <c r="C7" i="1"/>
  <c r="C6" i="1"/>
  <c r="C5" i="1"/>
  <c r="C4" i="1"/>
  <c r="C3" i="1"/>
  <c r="C2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<sst xmlns="http://schemas.openxmlformats.org/spreadsheetml/2006/main" count="15" uniqueCount="15">
  <si>
    <t>Tarea</t>
  </si>
  <si>
    <t>Fecha de inicio</t>
  </si>
  <si>
    <t>Fecha fin</t>
  </si>
  <si>
    <t>Horas estimadas</t>
  </si>
  <si>
    <t>Análisis del proyecto</t>
  </si>
  <si>
    <t>Diseño del sistema</t>
  </si>
  <si>
    <t>Instalación VirtualBox</t>
  </si>
  <si>
    <t>Instalación Windows Server</t>
  </si>
  <si>
    <t>Configuración dominio</t>
  </si>
  <si>
    <t>Usuarios y grupos</t>
  </si>
  <si>
    <t>Carpetas compartidas</t>
  </si>
  <si>
    <t>Pruebas finales</t>
  </si>
  <si>
    <t>Total de horas estimadas: 63 horas aprox.</t>
  </si>
  <si>
    <t>Inicio proyecto</t>
  </si>
  <si>
    <t>Fin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</si>
</sst>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Diagrama</a:t>
            </a:r>
            <a:r>
              <a:rPr lang="es-ES" baseline="0"/>
              <a:t> de gannt</a:t>
            </a:r>
          </a:p>
          <a:p>
            <a:pPr>
              <a:defRPr/>
            </a:pP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5040924353729526"/>
          <c:y val="5.7703562112260263E-2"/>
          <c:w val="0.8151836048426907"/>
          <c:h val="0.76242090409021723"/>
        </c:manualLayout>
      </c:layout>
      <c:barChart>
        <c:barDir val="bar"/>
        <c:grouping val="stacked"/>
        <c:varyColors val="0"/>
        <c:ser>
          <c:idx val="1"/>
          <c:order val="1"/>
          <c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Hoja1!$A$2:$A$9</c:f>
              <c:strCache>
                <c:ptCount val="8"/>
                <c:pt idx="0">
                  <c:v>Análisis del proyecto</c:v>
                </c:pt>
                <c:pt idx="1">
                  <c:v>Diseño del sistema</c:v>
                </c:pt>
                <c:pt idx="2">
                  <c:v>Instalación VirtualBox</c:v>
                </c:pt>
                <c:pt idx="3">
                  <c:v>Instalación Windows Server</c:v>
                </c:pt>
                <c:pt idx="4">
                  <c:v>Configuración dominio</c:v>
                </c:pt>
                <c:pt idx="5">
                  <c:v>Usuarios y grupos</c:v>
                </c:pt>
                <c:pt idx="6">
                  <c:v>Carpetas compartidas</c:v>
                </c:pt>
                <c:pt idx="7">
                  <c:v>Pruebas finales</c:v>
                </c:pt>
              </c:strCache>
            </c:strRef>
          </c:cat>
          <c:val>
            <c:numRef>
              <c:f>Hoja1!$C$2:$C$9</c:f>
              <c:numCache>
                <c:formatCode>m/d/yyyy</c:formatCode>
                <c:ptCount val="8"/>
                <c:pt idx="0">
                  <c:v>46084</c:v>
                </c:pt>
                <c:pt idx="1">
                  <c:v>46091</c:v>
                </c:pt>
                <c:pt idx="2">
                  <c:v>46094</c:v>
                </c:pt>
                <c:pt idx="3">
                  <c:v>46099</c:v>
                </c:pt>
                <c:pt idx="4">
                  <c:v>46106</c:v>
                </c:pt>
                <c:pt idx="5">
                  <c:v>46111</c:v>
                </c:pt>
                <c:pt idx="6">
                  <c:v>45385</c:v>
                </c:pt>
                <c:pt idx="7">
                  <c:v>46118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29-41BF-8B83-FC377E22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9"/>
        <c:overlap val="100"/>
        <c:axId val="756215615"/>
        <c:axId val="1135636639"/>
      </c:barChart>
      <c:barChart>
        <c:barDir val="bar"/>
        <c:grouping val="stacked"/>
        <c:varyColors val="0"/>
        <c:ser>
          <c:idx val="0"/>
          <c:order val="0"/>
          <c:spPr>
            <a:noFill/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Hoja1!$A$2:$A$9</c:f>
              <c:strCache>
                <c:ptCount val="8"/>
                <c:pt idx="0">
                  <c:v>Análisis del proyecto</c:v>
                </c:pt>
                <c:pt idx="1">
                  <c:v>Diseño del sistema</c:v>
                </c:pt>
                <c:pt idx="2">
                  <c:v>Instalación VirtualBox</c:v>
                </c:pt>
                <c:pt idx="3">
                  <c:v>Instalación Windows Server</c:v>
                </c:pt>
                <c:pt idx="4">
                  <c:v>Configuración dominio</c:v>
                </c:pt>
                <c:pt idx="5">
                  <c:v>Usuarios y grupos</c:v>
                </c:pt>
                <c:pt idx="6">
                  <c:v>Carpetas compartidas</c:v>
                </c:pt>
                <c:pt idx="7">
                  <c:v>Pruebas finales</c:v>
                </c:pt>
              </c:strCache>
            </c:strRef>
          </c:cat>
          <c:val>
            <c:numRef>
              <c:f>Hoja1!$B$2:$B$9</c:f>
              <c:numCache>
                <c:formatCode>m/d/yyyy</c:formatCode>
                <c:ptCount val="8"/>
                <c:pt idx="0">
                  <c:v>46082</c:v>
                </c:pt>
                <c:pt idx="1">
                  <c:v>46085</c:v>
                </c:pt>
                <c:pt idx="2">
                  <c:v>46092</c:v>
                </c:pt>
                <c:pt idx="3">
                  <c:v>46095</c:v>
                </c:pt>
                <c:pt idx="4">
                  <c:v>46100</c:v>
                </c:pt>
                <c:pt idx="5">
                  <c:v>46107</c:v>
                </c:pt>
                <c:pt idx="6">
                  <c:v>46112</c:v>
                </c:pt>
                <c:pt idx="7">
                  <c:v>46116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29-41BF-8B83-FC377E22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9"/>
        <c:overlap val="100"/>
        <c:axId val="970533487"/>
        <c:axId val="970534927"/>
      </c:barChart>
      <c:catAx>
        <c:axId val="75621561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5636639"/>
        <c:crosses val="autoZero"/>
        <c:auto val="1"/>
        <c:lblAlgn val="ctr"/>
        <c:lblOffset val="100"/>
        <c:noMultiLvlLbl val="0"/>
      </c:catAx>
      <c:valAx>
        <c:axId val="1135636639"/>
        <c:scaling>
          <c:orientation val="minMax"/>
          <c:max val="46118"/>
          <c:min val="46082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6215615"/>
        <c:crosses val="autoZero"/>
        <c:crossBetween val="between"/>
      </c:valAx>
      <c:valAx>
        <c:axId val="97053492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70533487"/>
        <c:crossBetween val="between"/>
      </c:valAx>
      <c:catAx>
        <c:axId val="970533487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970534927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419099</xdr:colOff>
      <xdr:row>6</xdr:row>
      <xdr:rowOff>4760</xdr:rowOff>
    </xdr:from>
    <xdr:to>
      <xdr:col>18</xdr:col>
      <xdr:colOff>28575</xdr:colOff>
      <xdr:row>24</xdr:row>
      <xdr:rowOff>38099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B47AF1F-D691-A7D0-30DB-07D613DCC0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abSelected="1" workbookViewId="0">
      <selection activeCell="I29" sqref="I29"/>
    </sheetView>
  </sheetViews>
  <sheetFormatPr baseColWidth="10" defaultColWidth="9.140625" defaultRowHeight="15" x14ac:dyDescent="0.25"/>
  <cols>
    <col min="1" max="1" width="42.140625" customWidth="1"/>
    <col min="2" max="2" width="13.85546875" customWidth="1"/>
    <col min="3" max="3" width="12.42578125" customWidth="1"/>
    <col min="4" max="4" width="15" customWidth="1"/>
  </cols>
  <sheetData>
    <row r="1" spans="1:4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5">
      <c r="A2" s="2" t="s">
        <v>4</v>
      </c>
      <c r="B2" s="3">
        <f>DATE(2026,3,1)</f>
        <v>46082</v>
      </c>
      <c r="C2" s="3">
        <f>DATE(2026,3,3)</f>
        <v>46084</v>
      </c>
      <c r="D2" s="4">
        <v>6</v>
      </c>
    </row>
    <row r="3" spans="1:4" x14ac:dyDescent="0.25">
      <c r="A3" s="2" t="s">
        <v>5</v>
      </c>
      <c r="B3" s="3">
        <f>DATE(2026,3,4)</f>
        <v>46085</v>
      </c>
      <c r="C3" s="3">
        <f>DATE(2026,3,10)</f>
        <v>46091</v>
      </c>
      <c r="D3" s="4">
        <v>10</v>
      </c>
    </row>
    <row r="4" spans="1:4" x14ac:dyDescent="0.25">
      <c r="A4" s="2" t="s">
        <v>6</v>
      </c>
      <c r="B4" s="3">
        <f>DATE(2026,3,11)</f>
        <v>46092</v>
      </c>
      <c r="C4" s="3">
        <f>DATE(2026,3,13)</f>
        <v>46094</v>
      </c>
      <c r="D4" s="4">
        <v>6</v>
      </c>
    </row>
    <row r="5" spans="1:4" x14ac:dyDescent="0.25">
      <c r="A5" s="2" t="s">
        <v>7</v>
      </c>
      <c r="B5" s="3">
        <f>DATE(2026,3,14)</f>
        <v>46095</v>
      </c>
      <c r="C5" s="3">
        <f>DATE(2026,3,18)</f>
        <v>46099</v>
      </c>
      <c r="D5" s="4">
        <v>10</v>
      </c>
    </row>
    <row r="6" spans="1:4" x14ac:dyDescent="0.25">
      <c r="A6" s="2" t="s">
        <v>8</v>
      </c>
      <c r="B6" s="3">
        <f>DATE(2026,3,19)</f>
        <v>46100</v>
      </c>
      <c r="C6" s="3">
        <f>DATE(2026,3,25)</f>
        <v>46106</v>
      </c>
      <c r="D6" s="4">
        <v>12</v>
      </c>
    </row>
    <row r="7" spans="1:4" x14ac:dyDescent="0.25">
      <c r="A7" s="2" t="s">
        <v>9</v>
      </c>
      <c r="B7" s="3">
        <f>DATE(2026,3,26)</f>
        <v>46107</v>
      </c>
      <c r="C7" s="3">
        <f>DATE(2026,3,30)</f>
        <v>46111</v>
      </c>
      <c r="D7" s="4">
        <v>8</v>
      </c>
    </row>
    <row r="8" spans="1:4" x14ac:dyDescent="0.25">
      <c r="A8" s="2" t="s">
        <v>10</v>
      </c>
      <c r="B8" s="3">
        <f>DATE(2026,3,31)</f>
        <v>46112</v>
      </c>
      <c r="C8" s="3">
        <f>DATE(2024,4,3)</f>
        <v>45385</v>
      </c>
      <c r="D8" s="4">
        <v>6</v>
      </c>
    </row>
    <row r="9" spans="1:4" x14ac:dyDescent="0.25">
      <c r="A9" s="2" t="s">
        <v>11</v>
      </c>
      <c r="B9" s="3">
        <f>DATE(2026,4,4)</f>
        <v>46116</v>
      </c>
      <c r="C9" s="3">
        <f>DATE(2026,4,6)</f>
        <v>46118</v>
      </c>
      <c r="D9" s="4">
        <v>5</v>
      </c>
    </row>
    <row r="10" spans="1:4" x14ac:dyDescent="0.25">
      <c r="A10" s="2" t="s">
        <v>12</v>
      </c>
      <c r="B10" s="5"/>
      <c r="C10" s="5"/>
      <c r="D10" s="5"/>
    </row>
    <row r="12" spans="1:4" x14ac:dyDescent="0.25">
      <c r="B12" t="s">
        <v>13</v>
      </c>
      <c r="C12" s="1">
        <f>B2</f>
        <v>46082</v>
      </c>
    </row>
    <row r="13" spans="1:4" x14ac:dyDescent="0.25">
      <c r="B13" t="s">
        <v>14</v>
      </c>
      <c r="C13" s="1">
        <f>C9</f>
        <v>46118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</dc:creator>
  <cp:lastModifiedBy>María García</cp:lastModifiedBy>
  <dcterms:created xsi:type="dcterms:W3CDTF">2015-06-05T18:19:34Z</dcterms:created>
  <dcterms:modified xsi:type="dcterms:W3CDTF">2026-04-28T16:51:12Z</dcterms:modified>
</cp:coreProperties>
</file>